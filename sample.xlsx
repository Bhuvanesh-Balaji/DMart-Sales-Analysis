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DMart_Slaes_Analysis\"/>
    </mc:Choice>
  </mc:AlternateContent>
  <xr:revisionPtr revIDLastSave="0" documentId="13_ncr:1_{973A0078-853A-4820-B461-DECED40DCEA1}" xr6:coauthVersionLast="47" xr6:coauthVersionMax="47" xr10:uidLastSave="{00000000-0000-0000-0000-000000000000}"/>
  <bookViews>
    <workbookView xWindow="-108" yWindow="-108" windowWidth="23256" windowHeight="12456" firstSheet="3" activeTab="12" xr2:uid="{00000000-000D-0000-FFFF-FFFF00000000}"/>
  </bookViews>
  <sheets>
    <sheet name="datatype" sheetId="1" r:id="rId1"/>
    <sheet name="Sheet2" sheetId="2" r:id="rId2"/>
    <sheet name="Sheet3" sheetId="3" r:id="rId3"/>
    <sheet name="Sheet4" sheetId="4" r:id="rId4"/>
    <sheet name="Logical function" sheetId="5" r:id="rId5"/>
    <sheet name="Sheet5" sheetId="6" r:id="rId6"/>
    <sheet name="Chennai" sheetId="7" r:id="rId7"/>
    <sheet name="Mumbai" sheetId="8" r:id="rId8"/>
    <sheet name="Banglore" sheetId="9" r:id="rId9"/>
    <sheet name="Summary" sheetId="10" r:id="rId10"/>
    <sheet name="Sheet1" sheetId="11" r:id="rId11"/>
    <sheet name="Sheet6" sheetId="12" r:id="rId12"/>
    <sheet name="Sheet7" sheetId="13" r:id="rId13"/>
  </sheets>
  <definedNames>
    <definedName name="sales_2025">Sheet5!$B$19:$B$23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3" l="1" a="1"/>
  <c r="J4" i="13"/>
  <c r="J3" i="13"/>
  <c r="J2" i="13"/>
  <c r="A22" i="12"/>
  <c r="A17" i="12"/>
  <c r="A18" i="12"/>
  <c r="B14" i="12"/>
  <c r="B13" i="12"/>
  <c r="B12" i="12"/>
  <c r="A7" i="12"/>
  <c r="A6" i="12"/>
  <c r="A5" i="12"/>
  <c r="A4" i="12"/>
  <c r="A3" i="12"/>
  <c r="C20" i="6"/>
  <c r="C21" i="6"/>
  <c r="C22" i="6"/>
  <c r="C23" i="6"/>
  <c r="C19" i="6"/>
  <c r="B21" i="6"/>
  <c r="B22" i="6"/>
  <c r="B23" i="6"/>
  <c r="B20" i="6"/>
  <c r="B19" i="6"/>
  <c r="J12" i="6"/>
  <c r="H12" i="6"/>
  <c r="F4" i="5"/>
  <c r="F5" i="5"/>
  <c r="F6" i="5"/>
  <c r="F7" i="5"/>
  <c r="F8" i="5"/>
  <c r="F9" i="5"/>
  <c r="F10" i="5"/>
  <c r="F11" i="5"/>
  <c r="F3" i="5"/>
  <c r="F2" i="5"/>
  <c r="E3" i="5"/>
  <c r="E4" i="5"/>
  <c r="E5" i="5"/>
  <c r="E6" i="5"/>
  <c r="E7" i="5"/>
  <c r="E8" i="5"/>
  <c r="E9" i="5"/>
  <c r="E10" i="5"/>
  <c r="E11" i="5"/>
  <c r="E2" i="5"/>
  <c r="D3" i="5"/>
  <c r="D4" i="5"/>
  <c r="D5" i="5"/>
  <c r="D6" i="5"/>
  <c r="D7" i="5"/>
  <c r="D8" i="5"/>
  <c r="D9" i="5"/>
  <c r="D10" i="5"/>
  <c r="D11" i="5"/>
  <c r="D2" i="5"/>
  <c r="C3" i="5"/>
  <c r="C4" i="5"/>
  <c r="C5" i="5"/>
  <c r="C6" i="5"/>
  <c r="C7" i="5"/>
  <c r="C8" i="5"/>
  <c r="C9" i="5"/>
  <c r="C10" i="5"/>
  <c r="C11" i="5"/>
  <c r="C2" i="5"/>
  <c r="G16" i="4"/>
  <c r="G15" i="4"/>
  <c r="G14" i="4"/>
  <c r="B9" i="4"/>
  <c r="A2" i="4"/>
  <c r="A1" i="4"/>
  <c r="B9" i="3"/>
  <c r="C9" i="3"/>
  <c r="D9" i="3"/>
  <c r="E9" i="3"/>
  <c r="F9" i="3"/>
  <c r="B10" i="3"/>
  <c r="C10" i="3"/>
  <c r="C8" i="3"/>
  <c r="D8" i="3"/>
  <c r="B8" i="3"/>
  <c r="C10" i="2"/>
  <c r="D10" i="2"/>
  <c r="E10" i="2"/>
  <c r="F10" i="2"/>
  <c r="G10" i="2"/>
  <c r="H10" i="2"/>
  <c r="I10" i="2"/>
  <c r="J10" i="2"/>
  <c r="K10" i="2"/>
  <c r="L10" i="2"/>
  <c r="B10" i="2"/>
  <c r="J3" i="2"/>
  <c r="K3" i="2"/>
  <c r="L3" i="2"/>
  <c r="J4" i="2"/>
  <c r="K4" i="2"/>
  <c r="L4" i="2"/>
  <c r="J5" i="2"/>
  <c r="K5" i="2"/>
  <c r="L5" i="2"/>
  <c r="J6" i="2"/>
  <c r="K6" i="2"/>
  <c r="L6" i="2"/>
  <c r="J7" i="2"/>
  <c r="K7" i="2"/>
  <c r="L7" i="2"/>
  <c r="J8" i="2"/>
  <c r="K8" i="2"/>
  <c r="L8" i="2"/>
  <c r="J9" i="2"/>
  <c r="K9" i="2"/>
  <c r="L9" i="2"/>
  <c r="L2" i="2"/>
  <c r="K2" i="2"/>
  <c r="J2" i="2"/>
  <c r="I8" i="2"/>
  <c r="I9" i="2"/>
  <c r="I3" i="2"/>
  <c r="I4" i="2"/>
  <c r="I5" i="2"/>
  <c r="I6" i="2"/>
  <c r="I7" i="2"/>
  <c r="I2" i="2"/>
  <c r="H4" i="2"/>
  <c r="H5" i="2"/>
  <c r="H6" i="2"/>
  <c r="H7" i="2"/>
  <c r="H8" i="2"/>
  <c r="H9" i="2"/>
  <c r="H2" i="2"/>
  <c r="I2" i="1"/>
  <c r="G3" i="2"/>
  <c r="G4" i="2"/>
  <c r="G5" i="2"/>
  <c r="G6" i="2"/>
  <c r="G7" i="2"/>
  <c r="G8" i="2"/>
  <c r="G9" i="2"/>
  <c r="G2" i="2"/>
  <c r="F3" i="2"/>
  <c r="F4" i="2"/>
  <c r="F5" i="2"/>
  <c r="F6" i="2"/>
  <c r="F7" i="2"/>
  <c r="F8" i="2"/>
  <c r="F9" i="2"/>
  <c r="F2" i="2"/>
  <c r="D3" i="2"/>
  <c r="D4" i="2"/>
  <c r="D5" i="2"/>
  <c r="D6" i="2"/>
  <c r="D7" i="2"/>
  <c r="D8" i="2"/>
  <c r="D9" i="2"/>
  <c r="D2" i="2"/>
  <c r="E3" i="2"/>
  <c r="E4" i="2"/>
  <c r="E5" i="2"/>
  <c r="E6" i="2"/>
  <c r="E7" i="2"/>
  <c r="E8" i="2"/>
  <c r="E9" i="2"/>
  <c r="E2" i="2"/>
  <c r="B2" i="1"/>
  <c r="C2" i="1"/>
  <c r="D2" i="1"/>
  <c r="E2" i="1"/>
  <c r="A2" i="1"/>
  <c r="D4" i="4" l="1"/>
  <c r="A3" i="4"/>
  <c r="B11" i="3"/>
  <c r="C11" i="3" s="1"/>
  <c r="D10" i="3"/>
  <c r="E10" i="3" s="1"/>
  <c r="F10" i="3" s="1"/>
  <c r="E8" i="3"/>
  <c r="F8" i="3" s="1"/>
  <c r="H3" i="2"/>
  <c r="D11" i="3" l="1"/>
  <c r="E11" i="3" s="1"/>
  <c r="F1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<sst xmlns="http://schemas.openxmlformats.org/spreadsheetml/2006/main" count="134" uniqueCount="94">
  <si>
    <t xml:space="preserve"> </t>
  </si>
  <si>
    <t>Excel</t>
  </si>
  <si>
    <t>sales_1</t>
  </si>
  <si>
    <t>sales_2</t>
  </si>
  <si>
    <t>add</t>
  </si>
  <si>
    <t>sub</t>
  </si>
  <si>
    <t>mul</t>
  </si>
  <si>
    <t>div</t>
  </si>
  <si>
    <t>String</t>
  </si>
  <si>
    <t>Float</t>
  </si>
  <si>
    <t>Integer</t>
  </si>
  <si>
    <t>Date</t>
  </si>
  <si>
    <t>Boolean</t>
  </si>
  <si>
    <t>sum()</t>
  </si>
  <si>
    <t>min()</t>
  </si>
  <si>
    <t>max()</t>
  </si>
  <si>
    <t>avg()</t>
  </si>
  <si>
    <t>count()</t>
  </si>
  <si>
    <t>Value</t>
  </si>
  <si>
    <t>Excel follows always BODMAS rule</t>
  </si>
  <si>
    <t>BODMAS - Bracket Order Division Multiplication Addiction Subtraction</t>
  </si>
  <si>
    <t>There  are 3 type of cell referencing</t>
  </si>
  <si>
    <t>3.Mixed cell referencing</t>
  </si>
  <si>
    <t>1.Relative cell referencig ( Draging for addition or sub )</t>
  </si>
  <si>
    <t>2.Absolute cell referencing ( If we need to add number eg:20 we need to give dollor symbol)</t>
  </si>
  <si>
    <t>Price/Qty</t>
  </si>
  <si>
    <t>$12</t>
  </si>
  <si>
    <t>today()</t>
  </si>
  <si>
    <t>now()</t>
  </si>
  <si>
    <t>weekday()</t>
  </si>
  <si>
    <t xml:space="preserve">Datedif(starting and ending date) </t>
  </si>
  <si>
    <t>Sub2</t>
  </si>
  <si>
    <t>Sun1</t>
  </si>
  <si>
    <t>Result(Using if statement)</t>
  </si>
  <si>
    <t>Result(Using if+and )</t>
  </si>
  <si>
    <t>Result (Using if+or)</t>
  </si>
  <si>
    <t>Grade (Using nestedif)</t>
  </si>
  <si>
    <t>Trace precedent</t>
  </si>
  <si>
    <t xml:space="preserve">If we select answer and shows whats we added </t>
  </si>
  <si>
    <t>Trace depedents</t>
  </si>
  <si>
    <t>If we select question it shows which answer depedent on</t>
  </si>
  <si>
    <t>Trace precedents and Trace dependents</t>
  </si>
  <si>
    <t>Product</t>
  </si>
  <si>
    <t>A</t>
  </si>
  <si>
    <t>B</t>
  </si>
  <si>
    <t>C</t>
  </si>
  <si>
    <t>D</t>
  </si>
  <si>
    <t>E</t>
  </si>
  <si>
    <t>F</t>
  </si>
  <si>
    <t>Auto fill</t>
  </si>
  <si>
    <t>Series fill</t>
  </si>
  <si>
    <t>Flash fill</t>
  </si>
  <si>
    <t>Custom list</t>
  </si>
  <si>
    <t>Series fill using fill option in Home</t>
  </si>
  <si>
    <t>Name</t>
  </si>
  <si>
    <t>First_name</t>
  </si>
  <si>
    <t>Last_name</t>
  </si>
  <si>
    <t>Michale rose</t>
  </si>
  <si>
    <t>Ctrl+E</t>
  </si>
  <si>
    <t>Michale</t>
  </si>
  <si>
    <t>rose</t>
  </si>
  <si>
    <t>Michale raj</t>
  </si>
  <si>
    <t>Michale Mat</t>
  </si>
  <si>
    <t>Chennai</t>
  </si>
  <si>
    <t>Mumbai</t>
  </si>
  <si>
    <t>Banglore</t>
  </si>
  <si>
    <t>Hydrabad</t>
  </si>
  <si>
    <t>chennai</t>
  </si>
  <si>
    <t>mumbai</t>
  </si>
  <si>
    <t>banglore</t>
  </si>
  <si>
    <t>hydrabad</t>
  </si>
  <si>
    <t>File&gt;option&gt;Advance&gt;General&gt;Edit custom list</t>
  </si>
  <si>
    <t xml:space="preserve">           StRiNg               </t>
  </si>
  <si>
    <t>len()</t>
  </si>
  <si>
    <t>trim()</t>
  </si>
  <si>
    <t>upper()</t>
  </si>
  <si>
    <t>lower()</t>
  </si>
  <si>
    <t>proper()</t>
  </si>
  <si>
    <t>Hello World</t>
  </si>
  <si>
    <t>left()</t>
  </si>
  <si>
    <t>right()</t>
  </si>
  <si>
    <t>mid()</t>
  </si>
  <si>
    <t>BallBat</t>
  </si>
  <si>
    <t>Replace()</t>
  </si>
  <si>
    <t>search()</t>
  </si>
  <si>
    <t>find()</t>
  </si>
  <si>
    <t>Methodology</t>
  </si>
  <si>
    <t>Substitute()</t>
  </si>
  <si>
    <t>Mean(Average)</t>
  </si>
  <si>
    <t>Median(Middle value)</t>
  </si>
  <si>
    <t>(n+1)/2</t>
  </si>
  <si>
    <t>Mode single(Frequent value)</t>
  </si>
  <si>
    <t>Mode multy(Frequent value)</t>
  </si>
  <si>
    <t>If the number repeats multiple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</si>
</sst>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[$$-409]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2" fontId="0" fillId="0" borderId="0" xfId="0" applyNumberFormat="1"/>
    <xf numFmtId="8" fontId="0" fillId="0" borderId="0" xfId="0" applyNumberFormat="1"/>
    <xf numFmtId="22" fontId="0" fillId="0" borderId="0" xfId="0" applyNumberFormat="1"/>
    <xf numFmtId="14" fontId="0" fillId="0" borderId="1" xfId="0" applyNumberFormat="1" applyBorder="1"/>
    <xf numFmtId="14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0" xfId="0" applyNumberFormat="1"/>
    <xf numFmtId="0" fontId="1" fillId="0" borderId="0" xfId="0" applyFont="1"/>
    <xf numFmtId="0" fontId="0" fillId="0" borderId="9" xfId="0" applyBorder="1"/>
    <xf numFmtId="0" fontId="4" fillId="0" borderId="0" xfId="0" applyFont="1"/>
    <xf numFmtId="0" fontId="0" fillId="0" borderId="1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>
      <selection activeCell="I4" sqref="I4"/>
    </sheetView>
  </sheetViews>
  <sheetFormatPr defaultRowHeight="14.4" x14ac:dyDescent="0.3"/>
  <cols>
    <col min="4" max="4" width="10.33203125" bestFit="1" customWidth="1"/>
  </cols>
  <sheetData>
    <row r="1" spans="1:9" x14ac:dyDescent="0.3">
      <c r="A1">
        <v>10</v>
      </c>
      <c r="B1">
        <v>10.3</v>
      </c>
      <c r="C1" t="s">
        <v>1</v>
      </c>
      <c r="D1" s="1">
        <v>46196</v>
      </c>
      <c r="E1" t="b">
        <v>1</v>
      </c>
      <c r="I1" t="b">
        <v>0</v>
      </c>
    </row>
    <row r="2" spans="1:9" x14ac:dyDescent="0.3">
      <c r="A2">
        <f>TYPE(A1)</f>
        <v>1</v>
      </c>
      <c r="B2">
        <f t="shared" ref="B2:E2" si="0">TYPE(B1)</f>
        <v>1</v>
      </c>
      <c r="C2">
        <f t="shared" si="0"/>
        <v>2</v>
      </c>
      <c r="D2">
        <f t="shared" si="0"/>
        <v>1</v>
      </c>
      <c r="E2">
        <f t="shared" si="0"/>
        <v>4</v>
      </c>
      <c r="I2">
        <f>TYPE(I1)</f>
        <v>4</v>
      </c>
    </row>
    <row r="3" spans="1:9" x14ac:dyDescent="0.3">
      <c r="A3" t="s">
        <v>10</v>
      </c>
      <c r="B3" t="s">
        <v>9</v>
      </c>
      <c r="C3" t="s">
        <v>8</v>
      </c>
      <c r="D3" t="s">
        <v>11</v>
      </c>
      <c r="E3" t="s">
        <v>12</v>
      </c>
      <c r="I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93226-37C5-47E4-B15B-112DCCECFFBE}">
  <dimension ref="A1:L17"/>
  <sheetViews>
    <sheetView workbookViewId="0">
      <selection activeCell="L4" sqref="L4"/>
    </sheetView>
  </sheetViews>
  <sheetFormatPr defaultRowHeight="14.4" x14ac:dyDescent="0.3"/>
  <sheetData>
    <row r="1" spans="1:12" x14ac:dyDescent="0.3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3">
      <c r="B2">
        <v>4899</v>
      </c>
      <c r="C2">
        <v>4042</v>
      </c>
      <c r="D2">
        <f>C2+B2</f>
        <v>8941</v>
      </c>
      <c r="E2">
        <f>B2-C2</f>
        <v>857</v>
      </c>
      <c r="F2">
        <f>B2*C2</f>
        <v>19801758</v>
      </c>
      <c r="G2">
        <f>B2/C2</f>
        <v>1.2120237506185056</v>
      </c>
      <c r="H2">
        <f>SUM(B2:B9)</f>
        <v>37332</v>
      </c>
      <c r="I2">
        <f>MIN(B2:B9)</f>
        <v>1221</v>
      </c>
      <c r="J2">
        <f>MAX(B2:B9)</f>
        <v>9759</v>
      </c>
      <c r="K2">
        <f>AVERAGE(B2:B9)</f>
        <v>4666.5</v>
      </c>
      <c r="L2">
        <f>COUNT(B2:B9)</f>
        <v>8</v>
      </c>
    </row>
    <row r="3" spans="1:12" x14ac:dyDescent="0.3">
      <c r="B3">
        <v>5739</v>
      </c>
      <c r="C3">
        <v>3141</v>
      </c>
      <c r="D3">
        <f t="shared" ref="D3:D9" si="0">C3+B3</f>
        <v>8880</v>
      </c>
      <c r="E3">
        <f t="shared" ref="E3:E9" si="1">B3-C3</f>
        <v>2598</v>
      </c>
      <c r="F3">
        <f t="shared" ref="F3:F9" si="2">B3*C3</f>
        <v>18026199</v>
      </c>
      <c r="G3">
        <f t="shared" ref="G3:G9" si="3">B3/C3</f>
        <v>1.8271251193887297</v>
      </c>
      <c r="H3">
        <f t="shared" ref="H3:H9" si="4">SUM(B3:B10)</f>
        <v>69765</v>
      </c>
      <c r="I3">
        <f t="shared" ref="I3:I9" si="5">MIN(B3:B10)</f>
        <v>1221</v>
      </c>
      <c r="J3">
        <f t="shared" ref="J3:J9" si="6">MAX(B3:B10)</f>
        <v>37332</v>
      </c>
      <c r="K3">
        <f t="shared" ref="K3:K9" si="7">AVERAGE(B3:B10)</f>
        <v>8720.625</v>
      </c>
      <c r="L3">
        <f t="shared" ref="L3:L9" si="8">COUNT(B3:B10)</f>
        <v>8</v>
      </c>
    </row>
    <row r="4" spans="1:12" x14ac:dyDescent="0.3">
      <c r="B4">
        <v>9759</v>
      </c>
      <c r="C4">
        <v>5063</v>
      </c>
      <c r="D4">
        <f t="shared" si="0"/>
        <v>14822</v>
      </c>
      <c r="E4">
        <f t="shared" si="1"/>
        <v>4696</v>
      </c>
      <c r="F4">
        <f t="shared" si="2"/>
        <v>49409817</v>
      </c>
      <c r="G4">
        <f t="shared" si="3"/>
        <v>1.9275133320165909</v>
      </c>
      <c r="H4">
        <f t="shared" si="4"/>
        <v>64026</v>
      </c>
      <c r="I4">
        <f t="shared" si="5"/>
        <v>1221</v>
      </c>
      <c r="J4">
        <f t="shared" si="6"/>
        <v>37332</v>
      </c>
      <c r="K4">
        <f t="shared" si="7"/>
        <v>9146.5714285714294</v>
      </c>
      <c r="L4">
        <f t="shared" si="8"/>
        <v>7</v>
      </c>
    </row>
    <row r="5" spans="1:12" x14ac:dyDescent="0.3">
      <c r="B5">
        <v>2329</v>
      </c>
      <c r="C5">
        <v>7465</v>
      </c>
      <c r="D5">
        <f t="shared" si="0"/>
        <v>9794</v>
      </c>
      <c r="E5">
        <f t="shared" si="1"/>
        <v>-5136</v>
      </c>
      <c r="F5">
        <f t="shared" si="2"/>
        <v>17385985</v>
      </c>
      <c r="G5">
        <f t="shared" si="3"/>
        <v>0.31198928332217013</v>
      </c>
      <c r="H5">
        <f t="shared" si="4"/>
        <v>54267</v>
      </c>
      <c r="I5">
        <f t="shared" si="5"/>
        <v>1221</v>
      </c>
      <c r="J5">
        <f t="shared" si="6"/>
        <v>37332</v>
      </c>
      <c r="K5">
        <f t="shared" si="7"/>
        <v>9044.5</v>
      </c>
      <c r="L5">
        <f t="shared" si="8"/>
        <v>6</v>
      </c>
    </row>
    <row r="6" spans="1:12" x14ac:dyDescent="0.3">
      <c r="B6">
        <v>1221</v>
      </c>
      <c r="C6">
        <v>1278</v>
      </c>
      <c r="D6">
        <f t="shared" si="0"/>
        <v>2499</v>
      </c>
      <c r="E6">
        <f t="shared" si="1"/>
        <v>-57</v>
      </c>
      <c r="F6">
        <f t="shared" si="2"/>
        <v>1560438</v>
      </c>
      <c r="G6">
        <f t="shared" si="3"/>
        <v>0.95539906103286387</v>
      </c>
      <c r="H6">
        <f t="shared" si="4"/>
        <v>51938</v>
      </c>
      <c r="I6">
        <f t="shared" si="5"/>
        <v>1221</v>
      </c>
      <c r="J6">
        <f t="shared" si="6"/>
        <v>37332</v>
      </c>
      <c r="K6">
        <f t="shared" si="7"/>
        <v>10387.6</v>
      </c>
      <c r="L6">
        <f t="shared" si="8"/>
        <v>5</v>
      </c>
    </row>
    <row r="7" spans="1:12" x14ac:dyDescent="0.3">
      <c r="B7">
        <v>1755</v>
      </c>
      <c r="C7">
        <v>2497</v>
      </c>
      <c r="D7">
        <f t="shared" si="0"/>
        <v>4252</v>
      </c>
      <c r="E7">
        <f t="shared" si="1"/>
        <v>-742</v>
      </c>
      <c r="F7">
        <f t="shared" si="2"/>
        <v>4382235</v>
      </c>
      <c r="G7">
        <f t="shared" si="3"/>
        <v>0.7028434120945134</v>
      </c>
      <c r="H7">
        <f t="shared" si="4"/>
        <v>50717</v>
      </c>
      <c r="I7">
        <f t="shared" si="5"/>
        <v>1755</v>
      </c>
      <c r="J7">
        <f t="shared" si="6"/>
        <v>37332</v>
      </c>
      <c r="K7">
        <f t="shared" si="7"/>
        <v>12679.25</v>
      </c>
      <c r="L7">
        <f t="shared" si="8"/>
        <v>4</v>
      </c>
    </row>
    <row r="8" spans="1:12" x14ac:dyDescent="0.3">
      <c r="B8">
        <v>9029</v>
      </c>
      <c r="C8">
        <v>2869</v>
      </c>
      <c r="D8">
        <f t="shared" si="0"/>
        <v>11898</v>
      </c>
      <c r="E8">
        <f t="shared" si="1"/>
        <v>6160</v>
      </c>
      <c r="F8">
        <f t="shared" si="2"/>
        <v>25904201</v>
      </c>
      <c r="G8">
        <f t="shared" si="3"/>
        <v>3.1470895782502613</v>
      </c>
      <c r="H8">
        <f t="shared" si="4"/>
        <v>48962</v>
      </c>
      <c r="I8">
        <f>MIN(B8:B15)</f>
        <v>2601</v>
      </c>
      <c r="J8">
        <f t="shared" si="6"/>
        <v>37332</v>
      </c>
      <c r="K8">
        <f t="shared" si="7"/>
        <v>16320.666666666666</v>
      </c>
      <c r="L8">
        <f t="shared" si="8"/>
        <v>3</v>
      </c>
    </row>
    <row r="9" spans="1:12" x14ac:dyDescent="0.3">
      <c r="B9">
        <v>2601</v>
      </c>
      <c r="C9">
        <v>8491</v>
      </c>
      <c r="D9">
        <f t="shared" si="0"/>
        <v>11092</v>
      </c>
      <c r="E9">
        <f t="shared" si="1"/>
        <v>-5890</v>
      </c>
      <c r="F9">
        <f t="shared" si="2"/>
        <v>22085091</v>
      </c>
      <c r="G9">
        <f t="shared" si="3"/>
        <v>0.3063243434224473</v>
      </c>
      <c r="H9">
        <f t="shared" si="4"/>
        <v>39933</v>
      </c>
      <c r="I9">
        <f t="shared" si="5"/>
        <v>2601</v>
      </c>
      <c r="J9">
        <f t="shared" si="6"/>
        <v>37332</v>
      </c>
      <c r="K9">
        <f t="shared" si="7"/>
        <v>19966.5</v>
      </c>
      <c r="L9">
        <f t="shared" si="8"/>
        <v>2</v>
      </c>
    </row>
    <row r="10" spans="1:12" x14ac:dyDescent="0.3">
      <c r="A10" t="s">
        <v>18</v>
      </c>
      <c r="B10">
        <f>SUM(B2:B9)</f>
        <v>37332</v>
      </c>
      <c r="C10">
        <f t="shared" ref="C10:L10" si="9">SUM(C2:C9)</f>
        <v>34846</v>
      </c>
      <c r="D10">
        <f t="shared" si="9"/>
        <v>72178</v>
      </c>
      <c r="E10">
        <f t="shared" si="9"/>
        <v>2486</v>
      </c>
      <c r="F10">
        <f t="shared" si="9"/>
        <v>158555724</v>
      </c>
      <c r="G10">
        <f t="shared" si="9"/>
        <v>10.390307880146084</v>
      </c>
      <c r="H10">
        <f t="shared" si="9"/>
        <v>416940</v>
      </c>
      <c r="I10">
        <f t="shared" si="9"/>
        <v>13062</v>
      </c>
      <c r="J10">
        <f t="shared" si="9"/>
        <v>271083</v>
      </c>
      <c r="K10">
        <f t="shared" si="9"/>
        <v>90932.213095238098</v>
      </c>
      <c r="L10">
        <f t="shared" si="9"/>
        <v>43</v>
      </c>
    </row>
    <row r="15" spans="1:12" x14ac:dyDescent="0.3">
      <c r="I15" t="s">
        <v>19</v>
      </c>
    </row>
    <row r="17" spans="11:11" x14ac:dyDescent="0.3">
      <c r="K17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199E-412E-4403-8A91-ED7372B7D1D8}">
  <dimension ref="A1:K12"/>
  <sheetViews>
    <sheetView workbookViewId="0">
      <selection activeCell="F23" sqref="F23"/>
    </sheetView>
  </sheetViews>
  <sheetFormatPr defaultRowHeight="14.4" x14ac:dyDescent="0.3"/>
  <cols>
    <col min="4" max="4" width="9.5546875" bestFit="1" customWidth="1"/>
    <col min="5" max="5" width="10.5546875" bestFit="1" customWidth="1"/>
    <col min="6" max="6" width="11.5546875" bestFit="1" customWidth="1"/>
  </cols>
  <sheetData>
    <row r="1" spans="1:11" x14ac:dyDescent="0.3">
      <c r="A1" t="s">
        <v>21</v>
      </c>
    </row>
    <row r="2" spans="1:11" x14ac:dyDescent="0.3">
      <c r="A2" t="s">
        <v>23</v>
      </c>
    </row>
    <row r="3" spans="1:11" x14ac:dyDescent="0.3">
      <c r="A3" t="s">
        <v>24</v>
      </c>
    </row>
    <row r="4" spans="1:11" x14ac:dyDescent="0.3">
      <c r="A4" t="s">
        <v>22</v>
      </c>
    </row>
    <row r="5" spans="1:11" x14ac:dyDescent="0.3">
      <c r="A5" t="s">
        <v>0</v>
      </c>
      <c r="J5" s="2" t="s">
        <v>26</v>
      </c>
    </row>
    <row r="7" spans="1:11" x14ac:dyDescent="0.3">
      <c r="A7" t="s">
        <v>25</v>
      </c>
      <c r="B7">
        <v>12</v>
      </c>
      <c r="C7">
        <v>13</v>
      </c>
      <c r="D7">
        <v>14</v>
      </c>
      <c r="E7">
        <v>15</v>
      </c>
      <c r="F7">
        <v>16</v>
      </c>
    </row>
    <row r="8" spans="1:11" x14ac:dyDescent="0.3">
      <c r="A8">
        <v>120</v>
      </c>
      <c r="B8" s="2">
        <f>A8*B7</f>
        <v>1440</v>
      </c>
      <c r="C8" s="2">
        <f t="shared" ref="C8:F8" si="0">B8*C7</f>
        <v>18720</v>
      </c>
      <c r="D8" s="2">
        <f t="shared" si="0"/>
        <v>262080</v>
      </c>
      <c r="E8" s="2">
        <f t="shared" si="0"/>
        <v>3931200</v>
      </c>
      <c r="F8" s="2">
        <f t="shared" si="0"/>
        <v>62899200</v>
      </c>
      <c r="G8" s="2"/>
    </row>
    <row r="9" spans="1:11" x14ac:dyDescent="0.3">
      <c r="A9">
        <v>130</v>
      </c>
      <c r="B9" s="2">
        <f t="shared" ref="B9:B11" si="1">A9*B8</f>
        <v>187200</v>
      </c>
      <c r="C9" s="2">
        <f t="shared" ref="C9:C11" si="2">B9*C8</f>
        <v>3504384000</v>
      </c>
      <c r="D9" s="2">
        <f t="shared" ref="D9:D11" si="3">C9*D8</f>
        <v>918428958720000</v>
      </c>
      <c r="E9" s="2">
        <f t="shared" ref="E9:E11" si="4">D9*E8</f>
        <v>3.610527922520064E+21</v>
      </c>
      <c r="F9" s="2">
        <f t="shared" ref="F9:F11" si="5">E9*F8</f>
        <v>2.2709931790417401E+29</v>
      </c>
    </row>
    <row r="10" spans="1:11" x14ac:dyDescent="0.3">
      <c r="A10">
        <v>140</v>
      </c>
      <c r="B10" s="2">
        <f t="shared" si="1"/>
        <v>26208000</v>
      </c>
      <c r="C10" s="2">
        <f t="shared" si="2"/>
        <v>9.1842895872E+16</v>
      </c>
      <c r="D10" s="2">
        <f t="shared" si="3"/>
        <v>8.4351175221550342E+31</v>
      </c>
      <c r="E10" s="2">
        <f t="shared" si="4"/>
        <v>3.0455227343479007E+53</v>
      </c>
      <c r="F10" s="2">
        <f t="shared" si="5"/>
        <v>6.9163613563206322E+82</v>
      </c>
      <c r="J10" s="3"/>
    </row>
    <row r="11" spans="1:11" x14ac:dyDescent="0.3">
      <c r="A11">
        <v>150</v>
      </c>
      <c r="B11" s="2">
        <f t="shared" si="1"/>
        <v>3931200000</v>
      </c>
      <c r="C11" s="2">
        <f t="shared" si="2"/>
        <v>3.6105279225200639E+26</v>
      </c>
      <c r="D11" s="2">
        <f t="shared" si="3"/>
        <v>3.0455227343479003E+58</v>
      </c>
      <c r="E11" s="2">
        <f t="shared" si="4"/>
        <v>9.2752087254299128E+111</v>
      </c>
      <c r="F11" s="2">
        <f t="shared" si="5"/>
        <v>6.4150695200371388E+194</v>
      </c>
      <c r="K11" s="14">
        <v>78</v>
      </c>
    </row>
    <row r="12" spans="1:11" x14ac:dyDescent="0.3">
      <c r="J12" s="2"/>
      <c r="K1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C708-A5B9-4C62-8F75-0D61B20268C6}">
  <dimension ref="A1:G16"/>
  <sheetViews>
    <sheetView workbookViewId="0">
      <selection activeCell="G12" sqref="G12"/>
    </sheetView>
  </sheetViews>
  <sheetFormatPr defaultRowHeight="14.4" x14ac:dyDescent="0.3"/>
  <cols>
    <col min="1" max="1" width="15.44140625" bestFit="1" customWidth="1"/>
    <col min="2" max="2" width="10.33203125" bestFit="1" customWidth="1"/>
    <col min="5" max="5" width="9.77734375" customWidth="1"/>
  </cols>
  <sheetData>
    <row r="1" spans="1:7" x14ac:dyDescent="0.3">
      <c r="A1" s="1">
        <f ca="1">TODAY()</f>
        <v>46202</v>
      </c>
      <c r="B1" t="s">
        <v>27</v>
      </c>
    </row>
    <row r="2" spans="1:7" x14ac:dyDescent="0.3">
      <c r="A2" s="4">
        <f ca="1">NOW()</f>
        <v>46202.868220486111</v>
      </c>
      <c r="B2" t="s">
        <v>28</v>
      </c>
    </row>
    <row r="3" spans="1:7" x14ac:dyDescent="0.3">
      <c r="A3">
        <f ca="1">WEEKDAY(A1)</f>
        <v>2</v>
      </c>
      <c r="B3" t="s">
        <v>29</v>
      </c>
    </row>
    <row r="4" spans="1:7" x14ac:dyDescent="0.3">
      <c r="D4">
        <f ca="1">WEEKDAY(A1,13)</f>
        <v>6</v>
      </c>
    </row>
    <row r="6" spans="1:7" x14ac:dyDescent="0.3">
      <c r="A6" s="5">
        <v>36526</v>
      </c>
      <c r="B6" s="6">
        <v>36678</v>
      </c>
      <c r="C6" s="7"/>
      <c r="D6" s="7"/>
      <c r="E6" s="8"/>
    </row>
    <row r="7" spans="1:7" x14ac:dyDescent="0.3">
      <c r="A7" s="9"/>
      <c r="E7" s="10"/>
    </row>
    <row r="8" spans="1:7" x14ac:dyDescent="0.3">
      <c r="A8" s="9"/>
      <c r="E8" s="10"/>
    </row>
    <row r="9" spans="1:7" x14ac:dyDescent="0.3">
      <c r="A9" s="11"/>
      <c r="B9" s="12">
        <f>DATEDIF(A6,B6,"D")</f>
        <v>152</v>
      </c>
      <c r="C9" s="12" t="s">
        <v>30</v>
      </c>
      <c r="D9" s="12"/>
      <c r="E9" s="13"/>
    </row>
    <row r="12" spans="1:7" x14ac:dyDescent="0.3">
      <c r="G12" s="2">
        <v>3.1624266200000002</v>
      </c>
    </row>
    <row r="14" spans="1:7" x14ac:dyDescent="0.3">
      <c r="G14">
        <f>ROUND(G12,4)</f>
        <v>3.1623999999999999</v>
      </c>
    </row>
    <row r="15" spans="1:7" x14ac:dyDescent="0.3">
      <c r="G15">
        <f>ROUNDUP(G12,3)</f>
        <v>3.1629999999999998</v>
      </c>
    </row>
    <row r="16" spans="1:7" x14ac:dyDescent="0.3">
      <c r="G16">
        <f>ROUNDDOWN(G12,2)</f>
        <v>3.16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4CA3-E595-4501-BB62-74F53B9A0BC9}">
  <dimension ref="A1:F11"/>
  <sheetViews>
    <sheetView workbookViewId="0">
      <selection activeCell="B5" sqref="B5"/>
    </sheetView>
  </sheetViews>
  <sheetFormatPr defaultRowHeight="14.4" x14ac:dyDescent="0.3"/>
  <cols>
    <col min="3" max="3" width="22.21875" bestFit="1" customWidth="1"/>
    <col min="4" max="4" width="17.77734375" bestFit="1" customWidth="1"/>
    <col min="5" max="5" width="16.44140625" bestFit="1" customWidth="1"/>
    <col min="6" max="6" width="19.109375" bestFit="1" customWidth="1"/>
  </cols>
  <sheetData>
    <row r="1" spans="1:6" x14ac:dyDescent="0.3">
      <c r="A1" t="s">
        <v>32</v>
      </c>
      <c r="B1" t="s">
        <v>31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3">
      <c r="A2">
        <v>44</v>
      </c>
      <c r="B2">
        <v>87</v>
      </c>
      <c r="C2" t="str">
        <f>IF(A2&gt;=50,"Pass","Fail")</f>
        <v>Fail</v>
      </c>
      <c r="D2" t="str">
        <f>IF(AND(A2&gt;=50,B2&gt;=50),"Pass","Fail")</f>
        <v>Fail</v>
      </c>
      <c r="E2" t="str">
        <f>IF(OR(A2&gt;=50,B2&gt;=50),"Pass","Fail")</f>
        <v>Pass</v>
      </c>
      <c r="F2" t="str">
        <f>IF(A2&gt;=75,"A",IF(A2&gt;=50,"B",IF(A2&gt;=30,"C")))</f>
        <v>C</v>
      </c>
    </row>
    <row r="3" spans="1:6" x14ac:dyDescent="0.3">
      <c r="A3">
        <v>14</v>
      </c>
      <c r="B3">
        <v>72</v>
      </c>
      <c r="C3" t="str">
        <f t="shared" ref="C3:C11" si="0">IF(A3&gt;=50,"Pass","Fail")</f>
        <v>Fail</v>
      </c>
      <c r="D3" t="str">
        <f t="shared" ref="D3:D11" si="1">IF(AND(A3&gt;=50,B3&gt;=50),"Pass","Fail")</f>
        <v>Fail</v>
      </c>
      <c r="E3" t="str">
        <f t="shared" ref="E3:E11" si="2">IF(OR(A3&gt;=50,B3&gt;=50),"Pass","Fail")</f>
        <v>Pass</v>
      </c>
      <c r="F3" t="str">
        <f>IF(A3&gt;=75,"A",IF(A3&gt;=50,"B",IF(A3&gt;=30,"C",IF(A3&gt;=10,"D"))))</f>
        <v>D</v>
      </c>
    </row>
    <row r="4" spans="1:6" x14ac:dyDescent="0.3">
      <c r="A4">
        <v>15</v>
      </c>
      <c r="B4">
        <v>9</v>
      </c>
      <c r="C4" t="str">
        <f t="shared" si="0"/>
        <v>Fail</v>
      </c>
      <c r="D4" t="str">
        <f t="shared" si="1"/>
        <v>Fail</v>
      </c>
      <c r="E4" t="str">
        <f t="shared" si="2"/>
        <v>Fail</v>
      </c>
      <c r="F4" t="str">
        <f t="shared" ref="F4:F11" si="3">IF(A4&gt;=75,"A",IF(A4&gt;=50,"B",IF(A4&gt;=30,"C",IF(A4&gt;=10,"D"))))</f>
        <v>D</v>
      </c>
    </row>
    <row r="5" spans="1:6" x14ac:dyDescent="0.3">
      <c r="A5">
        <v>70</v>
      </c>
      <c r="B5">
        <v>69</v>
      </c>
      <c r="C5" t="str">
        <f t="shared" si="0"/>
        <v>Pass</v>
      </c>
      <c r="D5" t="str">
        <f t="shared" si="1"/>
        <v>Pass</v>
      </c>
      <c r="E5" t="str">
        <f t="shared" si="2"/>
        <v>Pass</v>
      </c>
      <c r="F5" t="str">
        <f t="shared" si="3"/>
        <v>B</v>
      </c>
    </row>
    <row r="6" spans="1:6" x14ac:dyDescent="0.3">
      <c r="A6">
        <v>82</v>
      </c>
      <c r="B6">
        <v>36</v>
      </c>
      <c r="C6" t="str">
        <f t="shared" si="0"/>
        <v>Pass</v>
      </c>
      <c r="D6" t="str">
        <f t="shared" si="1"/>
        <v>Fail</v>
      </c>
      <c r="E6" t="str">
        <f t="shared" si="2"/>
        <v>Pass</v>
      </c>
      <c r="F6" t="str">
        <f t="shared" si="3"/>
        <v>A</v>
      </c>
    </row>
    <row r="7" spans="1:6" x14ac:dyDescent="0.3">
      <c r="A7">
        <v>83</v>
      </c>
      <c r="B7">
        <v>67</v>
      </c>
      <c r="C7" t="str">
        <f t="shared" si="0"/>
        <v>Pass</v>
      </c>
      <c r="D7" t="str">
        <f t="shared" si="1"/>
        <v>Pass</v>
      </c>
      <c r="E7" t="str">
        <f t="shared" si="2"/>
        <v>Pass</v>
      </c>
      <c r="F7" t="str">
        <f t="shared" si="3"/>
        <v>A</v>
      </c>
    </row>
    <row r="8" spans="1:6" x14ac:dyDescent="0.3">
      <c r="A8">
        <v>24</v>
      </c>
      <c r="B8">
        <v>90</v>
      </c>
      <c r="C8" t="str">
        <f t="shared" si="0"/>
        <v>Fail</v>
      </c>
      <c r="D8" t="str">
        <f t="shared" si="1"/>
        <v>Fail</v>
      </c>
      <c r="E8" t="str">
        <f t="shared" si="2"/>
        <v>Pass</v>
      </c>
      <c r="F8" t="str">
        <f t="shared" si="3"/>
        <v>D</v>
      </c>
    </row>
    <row r="9" spans="1:6" x14ac:dyDescent="0.3">
      <c r="A9">
        <v>21</v>
      </c>
      <c r="B9">
        <v>52</v>
      </c>
      <c r="C9" t="str">
        <f t="shared" si="0"/>
        <v>Fail</v>
      </c>
      <c r="D9" t="str">
        <f t="shared" si="1"/>
        <v>Fail</v>
      </c>
      <c r="E9" t="str">
        <f t="shared" si="2"/>
        <v>Pass</v>
      </c>
      <c r="F9" t="str">
        <f t="shared" si="3"/>
        <v>D</v>
      </c>
    </row>
    <row r="10" spans="1:6" x14ac:dyDescent="0.3">
      <c r="A10">
        <v>79</v>
      </c>
      <c r="B10">
        <v>7</v>
      </c>
      <c r="C10" t="str">
        <f t="shared" si="0"/>
        <v>Pass</v>
      </c>
      <c r="D10" t="str">
        <f t="shared" si="1"/>
        <v>Fail</v>
      </c>
      <c r="E10" t="str">
        <f t="shared" si="2"/>
        <v>Pass</v>
      </c>
      <c r="F10" t="str">
        <f t="shared" si="3"/>
        <v>A</v>
      </c>
    </row>
    <row r="11" spans="1:6" x14ac:dyDescent="0.3">
      <c r="A11">
        <v>71</v>
      </c>
      <c r="B11">
        <v>3</v>
      </c>
      <c r="C11" t="str">
        <f t="shared" si="0"/>
        <v>Pass</v>
      </c>
      <c r="D11" t="str">
        <f t="shared" si="1"/>
        <v>Fail</v>
      </c>
      <c r="E11" t="str">
        <f t="shared" si="2"/>
        <v>Pass</v>
      </c>
      <c r="F11" t="str">
        <f t="shared" si="3"/>
        <v>B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04D8-AB1D-445B-B7F8-6C77A16EF418}">
  <dimension ref="A1:P23"/>
  <sheetViews>
    <sheetView workbookViewId="0">
      <selection activeCell="N18" sqref="N18"/>
    </sheetView>
  </sheetViews>
  <sheetFormatPr defaultRowHeight="14.4" x14ac:dyDescent="0.3"/>
  <cols>
    <col min="15" max="15" width="15" bestFit="1" customWidth="1"/>
  </cols>
  <sheetData>
    <row r="1" spans="2:16" ht="18" x14ac:dyDescent="0.35">
      <c r="B1" s="19" t="s">
        <v>41</v>
      </c>
      <c r="C1" s="19"/>
      <c r="D1" s="19"/>
      <c r="E1" s="19"/>
      <c r="F1" s="19"/>
      <c r="G1" s="19"/>
      <c r="H1" s="19"/>
      <c r="I1" s="19"/>
      <c r="J1" s="19"/>
      <c r="K1" s="19"/>
      <c r="L1" s="19"/>
    </row>
    <row r="6" spans="2:16" x14ac:dyDescent="0.3">
      <c r="B6">
        <v>30</v>
      </c>
      <c r="C6">
        <v>50</v>
      </c>
      <c r="E6">
        <v>90</v>
      </c>
      <c r="F6">
        <v>80</v>
      </c>
      <c r="O6" s="15" t="s">
        <v>37</v>
      </c>
      <c r="P6" t="s">
        <v>38</v>
      </c>
    </row>
    <row r="7" spans="2:16" x14ac:dyDescent="0.3">
      <c r="O7" s="15" t="s">
        <v>39</v>
      </c>
      <c r="P7" t="s">
        <v>40</v>
      </c>
    </row>
    <row r="12" spans="2:16" x14ac:dyDescent="0.3">
      <c r="H12">
        <f>B6+C6</f>
        <v>80</v>
      </c>
      <c r="J12">
        <f>E6+F6</f>
        <v>170</v>
      </c>
    </row>
    <row r="18" spans="1:3" x14ac:dyDescent="0.3">
      <c r="A18" s="16" t="s">
        <v>42</v>
      </c>
      <c r="B18" s="16">
        <v>2025</v>
      </c>
      <c r="C18" s="16">
        <v>2026</v>
      </c>
    </row>
    <row r="19" spans="1:3" x14ac:dyDescent="0.3">
      <c r="A19" s="16">
        <v>1</v>
      </c>
      <c r="B19" s="16">
        <f ca="1">RANDBETWEEN(0,1000)</f>
        <v>738</v>
      </c>
      <c r="C19" s="16">
        <f ca="1">RANDBETWEEN(0,1000)</f>
        <v>24</v>
      </c>
    </row>
    <row r="20" spans="1:3" x14ac:dyDescent="0.3">
      <c r="A20" s="16">
        <v>2</v>
      </c>
      <c r="B20" s="16">
        <f ca="1">RANDBETWEEN(0,1000)</f>
        <v>890</v>
      </c>
      <c r="C20" s="16">
        <f t="shared" ref="C20:C23" ca="1" si="0">RANDBETWEEN(0,1000)</f>
        <v>679</v>
      </c>
    </row>
    <row r="21" spans="1:3" x14ac:dyDescent="0.3">
      <c r="A21" s="16">
        <v>3</v>
      </c>
      <c r="B21" s="16">
        <f t="shared" ref="B21:B23" ca="1" si="1">RANDBETWEEN(0,1000)</f>
        <v>359</v>
      </c>
      <c r="C21" s="16">
        <f t="shared" ca="1" si="0"/>
        <v>36</v>
      </c>
    </row>
    <row r="22" spans="1:3" x14ac:dyDescent="0.3">
      <c r="A22" s="16">
        <v>4</v>
      </c>
      <c r="B22" s="16">
        <f t="shared" ca="1" si="1"/>
        <v>665</v>
      </c>
      <c r="C22" s="16">
        <f t="shared" ca="1" si="0"/>
        <v>177</v>
      </c>
    </row>
    <row r="23" spans="1:3" x14ac:dyDescent="0.3">
      <c r="A23" s="16">
        <v>5</v>
      </c>
      <c r="B23" s="16">
        <f t="shared" ca="1" si="1"/>
        <v>332</v>
      </c>
      <c r="C23" s="16">
        <f t="shared" ca="1" si="0"/>
        <v>141</v>
      </c>
    </row>
  </sheetData>
  <mergeCells count="1">
    <mergeCell ref="B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31F8A-B084-4BF0-907C-D60D468871D2}">
  <dimension ref="A1:D7"/>
  <sheetViews>
    <sheetView workbookViewId="0">
      <selection activeCell="C5" sqref="C5"/>
    </sheetView>
  </sheetViews>
  <sheetFormatPr defaultRowHeight="14.4" x14ac:dyDescent="0.3"/>
  <sheetData>
    <row r="1" spans="1:4" x14ac:dyDescent="0.3">
      <c r="A1" s="16" t="s">
        <v>42</v>
      </c>
      <c r="B1" s="16">
        <v>2024</v>
      </c>
      <c r="C1" s="16">
        <v>2025</v>
      </c>
      <c r="D1" s="16">
        <v>2026</v>
      </c>
    </row>
    <row r="2" spans="1:4" x14ac:dyDescent="0.3">
      <c r="A2" s="16" t="s">
        <v>43</v>
      </c>
      <c r="B2" s="16">
        <v>933</v>
      </c>
      <c r="C2" s="16">
        <v>364</v>
      </c>
      <c r="D2" s="16">
        <v>666</v>
      </c>
    </row>
    <row r="3" spans="1:4" x14ac:dyDescent="0.3">
      <c r="A3" s="16" t="s">
        <v>44</v>
      </c>
      <c r="B3" s="16">
        <v>406</v>
      </c>
      <c r="C3" s="16">
        <v>965</v>
      </c>
      <c r="D3" s="16">
        <v>37</v>
      </c>
    </row>
    <row r="4" spans="1:4" x14ac:dyDescent="0.3">
      <c r="A4" s="16" t="s">
        <v>45</v>
      </c>
      <c r="B4" s="16">
        <v>496</v>
      </c>
      <c r="C4" s="16">
        <v>82</v>
      </c>
      <c r="D4" s="16">
        <v>112</v>
      </c>
    </row>
    <row r="5" spans="1:4" x14ac:dyDescent="0.3">
      <c r="A5" s="16" t="s">
        <v>46</v>
      </c>
      <c r="B5" s="16">
        <v>633</v>
      </c>
      <c r="C5" s="16">
        <v>835</v>
      </c>
      <c r="D5" s="16">
        <v>554</v>
      </c>
    </row>
    <row r="6" spans="1:4" x14ac:dyDescent="0.3">
      <c r="A6" s="16" t="s">
        <v>47</v>
      </c>
      <c r="B6" s="16">
        <v>619</v>
      </c>
      <c r="C6" s="16">
        <v>428</v>
      </c>
      <c r="D6" s="16">
        <v>174</v>
      </c>
    </row>
    <row r="7" spans="1:4" x14ac:dyDescent="0.3">
      <c r="A7" s="16" t="s">
        <v>48</v>
      </c>
      <c r="B7" s="16">
        <v>862</v>
      </c>
      <c r="C7" s="16">
        <v>833</v>
      </c>
      <c r="D7" s="16">
        <v>562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6C395-4574-4E0F-A487-F24AE4B8A535}">
  <dimension ref="A1:D7"/>
  <sheetViews>
    <sheetView workbookViewId="0">
      <selection activeCell="H17" sqref="H17"/>
    </sheetView>
  </sheetViews>
  <sheetFormatPr defaultRowHeight="14.4" x14ac:dyDescent="0.3"/>
  <sheetData>
    <row r="1" spans="1:4" x14ac:dyDescent="0.3">
      <c r="A1" s="16" t="s">
        <v>42</v>
      </c>
      <c r="B1" s="16">
        <v>2024</v>
      </c>
      <c r="C1" s="16">
        <v>2025</v>
      </c>
      <c r="D1" s="16">
        <v>2026</v>
      </c>
    </row>
    <row r="2" spans="1:4" x14ac:dyDescent="0.3">
      <c r="A2" s="16" t="s">
        <v>43</v>
      </c>
      <c r="B2" s="16">
        <v>147</v>
      </c>
      <c r="C2" s="16">
        <v>854</v>
      </c>
      <c r="D2" s="16">
        <v>230</v>
      </c>
    </row>
    <row r="3" spans="1:4" x14ac:dyDescent="0.3">
      <c r="A3" s="16" t="s">
        <v>44</v>
      </c>
      <c r="B3" s="16">
        <v>586</v>
      </c>
      <c r="C3" s="16">
        <v>351</v>
      </c>
      <c r="D3" s="16">
        <v>733</v>
      </c>
    </row>
    <row r="4" spans="1:4" x14ac:dyDescent="0.3">
      <c r="A4" s="16" t="s">
        <v>45</v>
      </c>
      <c r="B4" s="16">
        <v>447</v>
      </c>
      <c r="C4" s="16">
        <v>882</v>
      </c>
      <c r="D4" s="16">
        <v>812</v>
      </c>
    </row>
    <row r="5" spans="1:4" x14ac:dyDescent="0.3">
      <c r="A5" s="16" t="s">
        <v>46</v>
      </c>
      <c r="B5" s="16">
        <v>552</v>
      </c>
      <c r="C5" s="16">
        <v>346</v>
      </c>
      <c r="D5" s="16">
        <v>608</v>
      </c>
    </row>
    <row r="6" spans="1:4" x14ac:dyDescent="0.3">
      <c r="A6" s="16" t="s">
        <v>47</v>
      </c>
      <c r="B6" s="16">
        <v>688</v>
      </c>
      <c r="C6" s="16">
        <v>616</v>
      </c>
      <c r="D6" s="16">
        <v>706</v>
      </c>
    </row>
    <row r="7" spans="1:4" x14ac:dyDescent="0.3">
      <c r="A7" s="16" t="s">
        <v>48</v>
      </c>
      <c r="B7" s="16">
        <v>30</v>
      </c>
      <c r="C7" s="16">
        <v>349</v>
      </c>
      <c r="D7" s="16">
        <v>378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DB819-DBB4-49DF-A1FB-A8CFA4ACC4CD}">
  <dimension ref="A1:D7"/>
  <sheetViews>
    <sheetView workbookViewId="0">
      <selection activeCell="I21" sqref="I21"/>
    </sheetView>
  </sheetViews>
  <sheetFormatPr defaultRowHeight="14.4" x14ac:dyDescent="0.3"/>
  <sheetData>
    <row r="1" spans="1:4" x14ac:dyDescent="0.3">
      <c r="A1" s="16" t="s">
        <v>42</v>
      </c>
      <c r="B1" s="16">
        <v>2024</v>
      </c>
      <c r="C1" s="16">
        <v>2025</v>
      </c>
      <c r="D1" s="16">
        <v>2026</v>
      </c>
    </row>
    <row r="2" spans="1:4" x14ac:dyDescent="0.3">
      <c r="A2" s="16" t="s">
        <v>43</v>
      </c>
      <c r="B2" s="16">
        <v>971</v>
      </c>
      <c r="C2" s="16">
        <v>685</v>
      </c>
      <c r="D2" s="16">
        <v>965</v>
      </c>
    </row>
    <row r="3" spans="1:4" x14ac:dyDescent="0.3">
      <c r="A3" s="16" t="s">
        <v>44</v>
      </c>
      <c r="B3" s="16">
        <v>872</v>
      </c>
      <c r="C3" s="16">
        <v>34</v>
      </c>
      <c r="D3" s="16">
        <v>426</v>
      </c>
    </row>
    <row r="4" spans="1:4" x14ac:dyDescent="0.3">
      <c r="A4" s="16" t="s">
        <v>45</v>
      </c>
      <c r="B4" s="16">
        <v>981</v>
      </c>
      <c r="C4" s="16">
        <v>651</v>
      </c>
      <c r="D4" s="16">
        <v>983</v>
      </c>
    </row>
    <row r="5" spans="1:4" x14ac:dyDescent="0.3">
      <c r="A5" s="16" t="s">
        <v>46</v>
      </c>
      <c r="B5" s="16">
        <v>333</v>
      </c>
      <c r="C5" s="16">
        <v>751</v>
      </c>
      <c r="D5" s="16">
        <v>228</v>
      </c>
    </row>
    <row r="6" spans="1:4" x14ac:dyDescent="0.3">
      <c r="A6" s="16" t="s">
        <v>47</v>
      </c>
      <c r="B6" s="16">
        <v>316</v>
      </c>
      <c r="C6" s="16">
        <v>479</v>
      </c>
      <c r="D6" s="16">
        <v>824</v>
      </c>
    </row>
    <row r="7" spans="1:4" x14ac:dyDescent="0.3">
      <c r="A7" s="16" t="s">
        <v>48</v>
      </c>
      <c r="B7" s="16">
        <v>957</v>
      </c>
      <c r="C7" s="16">
        <v>421</v>
      </c>
      <c r="D7" s="16">
        <v>672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69C4-E4DD-40EC-9E35-2DD8E8136A62}">
  <dimension ref="A1:D7"/>
  <sheetViews>
    <sheetView workbookViewId="0">
      <selection activeCell="O5" sqref="O5"/>
    </sheetView>
  </sheetViews>
  <sheetFormatPr defaultRowHeight="14.4" x14ac:dyDescent="0.3"/>
  <sheetData>
    <row r="1" spans="1:4" x14ac:dyDescent="0.3">
      <c r="A1" s="16" t="s">
        <v>42</v>
      </c>
      <c r="B1" s="16">
        <v>2024</v>
      </c>
      <c r="C1" s="16">
        <v>2025</v>
      </c>
      <c r="D1" s="16">
        <v>2026</v>
      </c>
    </row>
    <row r="2" spans="1:4" x14ac:dyDescent="0.3">
      <c r="A2" s="16" t="s">
        <v>43</v>
      </c>
      <c r="B2" s="16">
        <v>2051</v>
      </c>
      <c r="C2" s="16">
        <v>1903</v>
      </c>
      <c r="D2" s="16">
        <v>1861</v>
      </c>
    </row>
    <row r="3" spans="1:4" x14ac:dyDescent="0.3">
      <c r="A3" s="16" t="s">
        <v>44</v>
      </c>
      <c r="B3" s="16">
        <v>1864</v>
      </c>
      <c r="C3" s="16">
        <v>1350</v>
      </c>
      <c r="D3" s="16">
        <v>1196</v>
      </c>
    </row>
    <row r="4" spans="1:4" x14ac:dyDescent="0.3">
      <c r="A4" s="16" t="s">
        <v>45</v>
      </c>
      <c r="B4" s="16">
        <v>1924</v>
      </c>
      <c r="C4" s="16">
        <v>1615</v>
      </c>
      <c r="D4" s="16">
        <v>1907</v>
      </c>
    </row>
    <row r="5" spans="1:4" x14ac:dyDescent="0.3">
      <c r="A5" s="16" t="s">
        <v>46</v>
      </c>
      <c r="B5" s="16">
        <v>1518</v>
      </c>
      <c r="C5" s="16">
        <v>1932</v>
      </c>
      <c r="D5" s="16">
        <v>1390</v>
      </c>
    </row>
    <row r="6" spans="1:4" x14ac:dyDescent="0.3">
      <c r="A6" s="16" t="s">
        <v>47</v>
      </c>
      <c r="B6" s="16">
        <v>1623</v>
      </c>
      <c r="C6" s="16">
        <v>1523</v>
      </c>
      <c r="D6" s="16">
        <v>1704</v>
      </c>
    </row>
    <row r="7" spans="1:4" x14ac:dyDescent="0.3">
      <c r="A7" s="16" t="s">
        <v>48</v>
      </c>
      <c r="B7" s="16">
        <v>1849</v>
      </c>
      <c r="C7" s="16">
        <v>1603</v>
      </c>
      <c r="D7" s="16">
        <v>1612</v>
      </c>
    </row>
  </sheetData>
  <dataConsolidate>
    <dataRefs count="3">
      <dataRef ref="B2:D7" sheet="Banglore"/>
      <dataRef ref="B2:D7" sheet="Chennai"/>
      <dataRef ref="B2:D7" sheet="Mumbai"/>
    </dataRefs>
  </dataConsolid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CB395-14D2-4FC3-88D8-B92F0690D2A3}">
  <dimension ref="A1:X23"/>
  <sheetViews>
    <sheetView zoomScale="102" workbookViewId="0">
      <selection activeCell="K13" sqref="K13"/>
    </sheetView>
  </sheetViews>
  <sheetFormatPr defaultRowHeight="14.4" x14ac:dyDescent="0.3"/>
  <cols>
    <col min="1" max="1" width="14.5546875" bestFit="1" customWidth="1"/>
    <col min="10" max="10" width="10.33203125" bestFit="1" customWidth="1"/>
  </cols>
  <sheetData>
    <row r="1" spans="1:24" x14ac:dyDescent="0.3">
      <c r="A1" t="s">
        <v>49</v>
      </c>
    </row>
    <row r="2" spans="1:24" x14ac:dyDescent="0.3">
      <c r="A2" t="s">
        <v>50</v>
      </c>
    </row>
    <row r="3" spans="1:24" x14ac:dyDescent="0.3">
      <c r="A3" t="s">
        <v>51</v>
      </c>
      <c r="O3" t="s">
        <v>53</v>
      </c>
    </row>
    <row r="4" spans="1:24" x14ac:dyDescent="0.3">
      <c r="A4" t="s">
        <v>52</v>
      </c>
      <c r="E4" t="s">
        <v>49</v>
      </c>
      <c r="F4" t="s">
        <v>50</v>
      </c>
      <c r="O4">
        <v>100</v>
      </c>
      <c r="P4">
        <v>200</v>
      </c>
      <c r="Q4">
        <v>300</v>
      </c>
      <c r="R4">
        <v>400</v>
      </c>
      <c r="S4">
        <v>500</v>
      </c>
      <c r="T4">
        <v>600</v>
      </c>
      <c r="U4">
        <v>700</v>
      </c>
      <c r="V4">
        <v>800</v>
      </c>
      <c r="W4">
        <v>900</v>
      </c>
      <c r="X4">
        <v>1000</v>
      </c>
    </row>
    <row r="5" spans="1:24" x14ac:dyDescent="0.3">
      <c r="E5">
        <v>1</v>
      </c>
      <c r="F5">
        <v>1</v>
      </c>
    </row>
    <row r="6" spans="1:24" x14ac:dyDescent="0.3">
      <c r="E6">
        <v>1</v>
      </c>
      <c r="F6">
        <v>2</v>
      </c>
      <c r="J6" s="1"/>
    </row>
    <row r="7" spans="1:24" x14ac:dyDescent="0.3">
      <c r="E7">
        <v>1</v>
      </c>
      <c r="F7">
        <v>3</v>
      </c>
      <c r="J7" s="1"/>
    </row>
    <row r="8" spans="1:24" x14ac:dyDescent="0.3">
      <c r="E8">
        <v>1</v>
      </c>
      <c r="F8">
        <v>4</v>
      </c>
      <c r="J8" s="1"/>
    </row>
    <row r="9" spans="1:24" x14ac:dyDescent="0.3">
      <c r="E9">
        <v>1</v>
      </c>
      <c r="F9">
        <v>5</v>
      </c>
      <c r="J9" s="1"/>
    </row>
    <row r="10" spans="1:24" x14ac:dyDescent="0.3">
      <c r="J10" s="1"/>
    </row>
    <row r="12" spans="1:24" x14ac:dyDescent="0.3">
      <c r="A12" t="s">
        <v>51</v>
      </c>
      <c r="J12" t="s">
        <v>52</v>
      </c>
      <c r="K12" t="s">
        <v>71</v>
      </c>
    </row>
    <row r="13" spans="1:24" x14ac:dyDescent="0.3">
      <c r="A13" t="s">
        <v>54</v>
      </c>
      <c r="B13" t="s">
        <v>55</v>
      </c>
      <c r="C13" t="s">
        <v>56</v>
      </c>
      <c r="J13" t="s">
        <v>63</v>
      </c>
    </row>
    <row r="14" spans="1:24" x14ac:dyDescent="0.3">
      <c r="A14" t="s">
        <v>57</v>
      </c>
      <c r="B14" t="s">
        <v>59</v>
      </c>
      <c r="C14" t="s">
        <v>60</v>
      </c>
      <c r="J14" t="s">
        <v>64</v>
      </c>
    </row>
    <row r="15" spans="1:24" x14ac:dyDescent="0.3">
      <c r="A15" t="s">
        <v>57</v>
      </c>
      <c r="B15" t="s">
        <v>59</v>
      </c>
      <c r="C15" t="s">
        <v>60</v>
      </c>
      <c r="J15" t="s">
        <v>65</v>
      </c>
    </row>
    <row r="16" spans="1:24" x14ac:dyDescent="0.3">
      <c r="A16" t="s">
        <v>57</v>
      </c>
      <c r="B16" t="s">
        <v>59</v>
      </c>
      <c r="C16" t="s">
        <v>60</v>
      </c>
      <c r="J16" t="s">
        <v>66</v>
      </c>
    </row>
    <row r="17" spans="1:10" x14ac:dyDescent="0.3">
      <c r="A17" t="s">
        <v>61</v>
      </c>
      <c r="J17" t="s">
        <v>67</v>
      </c>
    </row>
    <row r="18" spans="1:10" x14ac:dyDescent="0.3">
      <c r="A18" t="s">
        <v>61</v>
      </c>
      <c r="J18" t="s">
        <v>68</v>
      </c>
    </row>
    <row r="19" spans="1:10" x14ac:dyDescent="0.3">
      <c r="A19" t="s">
        <v>62</v>
      </c>
      <c r="J19" t="s">
        <v>69</v>
      </c>
    </row>
    <row r="20" spans="1:10" x14ac:dyDescent="0.3">
      <c r="A20" t="s">
        <v>62</v>
      </c>
      <c r="J20" t="s">
        <v>70</v>
      </c>
    </row>
    <row r="21" spans="1:10" x14ac:dyDescent="0.3">
      <c r="J21" t="s">
        <v>67</v>
      </c>
    </row>
    <row r="22" spans="1:10" x14ac:dyDescent="0.3">
      <c r="B22" t="s">
        <v>58</v>
      </c>
      <c r="J22" t="s">
        <v>68</v>
      </c>
    </row>
    <row r="23" spans="1:10" x14ac:dyDescent="0.3">
      <c r="J23" t="s">
        <v>69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6A78-AF66-4207-A50B-CAFD5FE98B3E}">
  <dimension ref="A1:B22"/>
  <sheetViews>
    <sheetView topLeftCell="A6" workbookViewId="0">
      <selection activeCell="L11" sqref="L11"/>
    </sheetView>
  </sheetViews>
  <sheetFormatPr defaultRowHeight="14.4" x14ac:dyDescent="0.3"/>
  <cols>
    <col min="1" max="1" width="18.109375" bestFit="1" customWidth="1"/>
  </cols>
  <sheetData>
    <row r="1" spans="1:2" x14ac:dyDescent="0.3">
      <c r="A1" s="18" t="s">
        <v>72</v>
      </c>
      <c r="B1" s="8"/>
    </row>
    <row r="2" spans="1:2" x14ac:dyDescent="0.3">
      <c r="A2" s="9"/>
      <c r="B2" s="10"/>
    </row>
    <row r="3" spans="1:2" x14ac:dyDescent="0.3">
      <c r="A3" s="9">
        <f>LEN(A1)</f>
        <v>32</v>
      </c>
      <c r="B3" s="10" t="s">
        <v>73</v>
      </c>
    </row>
    <row r="4" spans="1:2" x14ac:dyDescent="0.3">
      <c r="A4" s="9" t="str">
        <f>TRIM(A1)</f>
        <v>StRiNg</v>
      </c>
      <c r="B4" s="10" t="s">
        <v>74</v>
      </c>
    </row>
    <row r="5" spans="1:2" x14ac:dyDescent="0.3">
      <c r="A5" s="9" t="str">
        <f>UPPER(A1)</f>
        <v xml:space="preserve">           STRING               </v>
      </c>
      <c r="B5" s="10" t="s">
        <v>75</v>
      </c>
    </row>
    <row r="6" spans="1:2" x14ac:dyDescent="0.3">
      <c r="A6" s="9" t="str">
        <f>LOWER(A1)</f>
        <v xml:space="preserve">           string               </v>
      </c>
      <c r="B6" s="10" t="s">
        <v>76</v>
      </c>
    </row>
    <row r="7" spans="1:2" x14ac:dyDescent="0.3">
      <c r="A7" s="11" t="str">
        <f>PROPER(A1)</f>
        <v xml:space="preserve">           String               </v>
      </c>
      <c r="B7" s="13" t="s">
        <v>77</v>
      </c>
    </row>
    <row r="8" spans="1:2" x14ac:dyDescent="0.3">
      <c r="B8" s="17"/>
    </row>
    <row r="11" spans="1:2" x14ac:dyDescent="0.3">
      <c r="A11" s="18" t="s">
        <v>78</v>
      </c>
      <c r="B11" s="8"/>
    </row>
    <row r="12" spans="1:2" x14ac:dyDescent="0.3">
      <c r="A12" s="9" t="s">
        <v>79</v>
      </c>
      <c r="B12" s="10" t="str">
        <f>LEFT(A11,3)</f>
        <v>Hel</v>
      </c>
    </row>
    <row r="13" spans="1:2" x14ac:dyDescent="0.3">
      <c r="A13" s="9" t="s">
        <v>80</v>
      </c>
      <c r="B13" s="10" t="str">
        <f>RIGHT(A11,5)</f>
        <v>World</v>
      </c>
    </row>
    <row r="14" spans="1:2" x14ac:dyDescent="0.3">
      <c r="A14" s="11" t="s">
        <v>81</v>
      </c>
      <c r="B14" s="13" t="str">
        <f>MID(A11,4,5)</f>
        <v>lo Wo</v>
      </c>
    </row>
    <row r="16" spans="1:2" x14ac:dyDescent="0.3">
      <c r="A16" s="18" t="s">
        <v>82</v>
      </c>
      <c r="B16" s="8"/>
    </row>
    <row r="17" spans="1:2" x14ac:dyDescent="0.3">
      <c r="A17" s="9" t="str">
        <f>REPLACE(A16,4,4,"basket")</f>
        <v>Balbasket</v>
      </c>
      <c r="B17" s="10" t="s">
        <v>83</v>
      </c>
    </row>
    <row r="18" spans="1:2" x14ac:dyDescent="0.3">
      <c r="A18" s="9">
        <f>SEARCH("a",A16,3)</f>
        <v>6</v>
      </c>
      <c r="B18" s="10" t="s">
        <v>84</v>
      </c>
    </row>
    <row r="19" spans="1:2" x14ac:dyDescent="0.3">
      <c r="A19" s="11"/>
      <c r="B19" s="13" t="s">
        <v>85</v>
      </c>
    </row>
    <row r="21" spans="1:2" x14ac:dyDescent="0.3">
      <c r="A21" t="s">
        <v>86</v>
      </c>
    </row>
    <row r="22" spans="1:2" x14ac:dyDescent="0.3">
      <c r="A22" t="str">
        <f>SUBSTITUTE("banana",A21,"All")</f>
        <v>banana</v>
      </c>
      <c r="B22" t="s">
        <v>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6582-86A1-4B35-AF59-3F542BA4D8A2}">
  <dimension ref="G1:K11"/>
  <sheetViews>
    <sheetView tabSelected="1" workbookViewId="0">
      <selection activeCell="I10" sqref="I10"/>
    </sheetView>
  </sheetViews>
  <sheetFormatPr defaultRowHeight="14.4" x14ac:dyDescent="0.3"/>
  <cols>
    <col min="9" max="9" width="24.21875" bestFit="1" customWidth="1"/>
  </cols>
  <sheetData>
    <row r="1" spans="7:11" x14ac:dyDescent="0.3">
      <c r="G1" t="s">
        <v>43</v>
      </c>
    </row>
    <row r="2" spans="7:11" x14ac:dyDescent="0.3">
      <c r="G2">
        <v>368</v>
      </c>
      <c r="I2" t="s">
        <v>88</v>
      </c>
      <c r="J2">
        <f>AVERAGE(G2:G11)</f>
        <v>639.79999999999995</v>
      </c>
    </row>
    <row r="3" spans="7:11" x14ac:dyDescent="0.3">
      <c r="G3">
        <v>389</v>
      </c>
      <c r="I3" t="s">
        <v>89</v>
      </c>
      <c r="J3">
        <f>MEDIAN(G2:G11)</f>
        <v>686</v>
      </c>
      <c r="K3" t="s">
        <v>90</v>
      </c>
    </row>
    <row r="4" spans="7:11" x14ac:dyDescent="0.3">
      <c r="G4">
        <v>460</v>
      </c>
      <c r="I4" t="s">
        <v>91</v>
      </c>
      <c r="J4">
        <f>_xlfn.MODE.SNGL(G2:G11)</f>
        <v>789</v>
      </c>
      <c r="K4" t="s">
        <v>93</v>
      </c>
    </row>
    <row r="5" spans="7:11" x14ac:dyDescent="0.3">
      <c r="G5">
        <v>627</v>
      </c>
      <c r="I5" t="s">
        <v>92</v>
      </c>
      <c r="J5" cm="1">
        <f t="array" ref="J5:J6">_xlfn.MODE.MULT(G2:G11)</f>
        <v>789</v>
      </c>
    </row>
    <row r="6" spans="7:11" x14ac:dyDescent="0.3">
      <c r="G6">
        <v>653</v>
      </c>
      <c r="I6" t="s">
        <v>92</v>
      </c>
      <c r="J6">
        <v>802</v>
      </c>
    </row>
    <row r="7" spans="7:11" x14ac:dyDescent="0.3">
      <c r="G7">
        <v>719</v>
      </c>
    </row>
    <row r="8" spans="7:11" x14ac:dyDescent="0.3">
      <c r="G8">
        <v>789</v>
      </c>
    </row>
    <row r="9" spans="7:11" x14ac:dyDescent="0.3">
      <c r="G9">
        <v>789</v>
      </c>
    </row>
    <row r="10" spans="7:11" x14ac:dyDescent="0.3">
      <c r="G10">
        <v>802</v>
      </c>
    </row>
    <row r="11" spans="7:11" x14ac:dyDescent="0.3">
      <c r="G11">
        <v>802</v>
      </c>
    </row>
  </sheetData>
  <sortState xmlns:xlrd2="http://schemas.microsoft.com/office/spreadsheetml/2017/richdata2" ref="G2:G11">
    <sortCondition ref="G2:G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datatype</vt:lpstr>
      <vt:lpstr>Sheet2</vt:lpstr>
      <vt:lpstr>Sheet3</vt:lpstr>
      <vt:lpstr>Sheet4</vt:lpstr>
      <vt:lpstr>Logical function</vt:lpstr>
      <vt:lpstr>Sheet5</vt:lpstr>
      <vt:lpstr>Chennai</vt:lpstr>
      <vt:lpstr>Mumbai</vt:lpstr>
      <vt:lpstr>Banglore</vt:lpstr>
      <vt:lpstr>Summary</vt:lpstr>
      <vt:lpstr>Sheet1</vt:lpstr>
      <vt:lpstr>Sheet6</vt:lpstr>
      <vt:lpstr>Sheet7</vt:lpstr>
      <vt:lpstr>sales_2025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Bhuvanesh.B</dc:creator>
  <cp:lastModifiedBy>Bhuvanesh B</cp:lastModifiedBy>
  <dcterms:created xsi:type="dcterms:W3CDTF">2015-06-05T18:17:20Z</dcterms:created>
  <dcterms:modified xsi:type="dcterms:W3CDTF">2026-06-29T15:20:16Z</dcterms:modified>
</cp:coreProperties>
</file>